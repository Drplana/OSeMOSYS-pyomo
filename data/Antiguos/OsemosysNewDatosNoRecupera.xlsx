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5.xml.rels" ContentType="application/vnd.openxmlformats-package.relationship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28.xml.rels" ContentType="application/vnd.openxmlformats-package.relationships+xml"/>
  <Override PartName="/xl/worksheets/_rels/sheet7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3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52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2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5.xml.rels" ContentType="application/vnd.openxmlformats-package.relationships+xml"/>
  <Override PartName="/xl/worksheets/_rels/sheet62.xml.rels" ContentType="application/vnd.openxmlformats-package.relationships+xml"/>
  <Override PartName="/xl/worksheets/_rels/sheet5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.xml" ContentType="application/vnd.openxmlformats-officedocument.spreadsheetml.worksheet+xml"/>
  <Override PartName="/xl/worksheets/sheet6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72.xml" ContentType="application/vnd.openxmlformats-officedocument.spreadsheetml.worksheet+xml"/>
  <Override PartName="/xl/worksheets/sheet58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5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<sst xmlns="http://schemas.openxmlformats.org/spreadsheetml/2006/main" count="26000" uniqueCount="246">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</sst>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F2" activeCellId="1" sqref="O30:AH37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C6" activeCellId="1" sqref="O30:AH37 C6"/>
    </sheetView>
  </sheetViews>
  <sheetFormatPr defaultColWidth="9.1132812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4" colorId="64" zoomScale="55" zoomScaleNormal="55" zoomScalePageLayoutView="100" workbookViewId="0">
      <selection pane="topLeft" activeCell="C32" activeCellId="1" sqref="O30:AH37 C3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3" activeCellId="1" sqref="O30:AH37 A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33" activeCellId="1" sqref="O30:AH37 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47" activeCellId="1" sqref="O30:AH37 B47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4" activeCellId="1" sqref="O30:AH37 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6" activeCellId="1" sqref="O30:AH37 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3" activeCellId="1" sqref="O30:AH37 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10" activeCellId="1" sqref="O30:AH37 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2" activeCellId="1" sqref="O30:AH37 A2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7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4" activeCellId="1" sqref="O30:AH37 A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D22" activeCellId="1" sqref="O30:AH37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55" zoomScaleNormal="55" zoomScalePageLayoutView="100" workbookViewId="0">
      <selection pane="topLeft" activeCell="T1" activeCellId="1" sqref="O30:AH37 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55" zoomScaleNormal="55" zoomScalePageLayoutView="100" workbookViewId="0">
      <selection pane="topLeft" activeCell="L42" activeCellId="1" sqref="O30:AH37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O30:AH37 B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O30:AH37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3" activePane="bottomLeft" state="frozen"/>
      <selection pane="topLeft" activeCell="A1" activeCellId="0" sqref="A1"/>
      <selection pane="bottomLeft" activeCell="B2" activeCellId="1" sqref="O30:AH37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1" activePane="bottomLeft" state="frozen"/>
      <selection pane="topLeft" activeCell="A1" activeCellId="0" sqref="A1"/>
      <selection pane="bottomLeft" activeCell="R19" activeCellId="1" sqref="O30:AH37 R19"/>
    </sheetView>
  </sheetViews>
  <sheetFormatPr defaultColWidth="8.51953125" defaultRowHeight="15" zeroHeight="false" outlineLevelRow="0" outlineLevelCol="0"/>
  <cols>
    <col collapsed="false" customWidth="true" hidden="false" outlineLevel="0" max="3" min="2" style="9" width="9.21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019" activePane="bottomLeft" state="frozen"/>
      <selection pane="topLeft" activeCell="A1" activeCellId="0" sqref="A1"/>
      <selection pane="bottomLeft" activeCell="D962" activeCellId="1" sqref="O30:AH37 D962"/>
    </sheetView>
  </sheetViews>
  <sheetFormatPr defaultColWidth="8.51953125" defaultRowHeight="15" zeroHeight="false" outlineLevelRow="0" outlineLevelCol="0"/>
  <cols>
    <col collapsed="false" customWidth="true" hidden="false" outlineLevel="0" max="4" min="4" style="9" width="13.39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1">
      <filters>
        <filter val="RESELEC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30:AH37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S2" activeCellId="1" sqref="O30:AH37 AS2"/>
    </sheetView>
  </sheetViews>
  <sheetFormatPr defaultColWidth="8.5195312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G3139" activeCellId="1" sqref="O30:AH37 G313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D38" activeCellId="1" sqref="O30:AH37 AD3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0.73</v>
      </c>
      <c r="J17" s="9" t="n">
        <v>0.73</v>
      </c>
      <c r="K17" s="9" t="n">
        <v>0.73</v>
      </c>
      <c r="L17" s="9" t="n">
        <v>0.73</v>
      </c>
      <c r="M17" s="9" t="n">
        <v>0.73</v>
      </c>
      <c r="N17" s="9" t="n">
        <v>0.73</v>
      </c>
      <c r="O17" s="9" t="n">
        <v>0.73</v>
      </c>
      <c r="P17" s="9" t="n">
        <v>0.73</v>
      </c>
      <c r="Q17" s="9" t="n">
        <v>0.73</v>
      </c>
      <c r="R17" s="9" t="n">
        <v>0.73</v>
      </c>
      <c r="S17" s="9" t="n">
        <v>0.73</v>
      </c>
      <c r="T17" s="9" t="n">
        <v>0.73</v>
      </c>
      <c r="U17" s="9" t="n">
        <v>0.73</v>
      </c>
      <c r="V17" s="9" t="n">
        <v>0.73</v>
      </c>
      <c r="W17" s="9" t="n">
        <v>0.73</v>
      </c>
      <c r="X17" s="9" t="n">
        <v>0.73</v>
      </c>
      <c r="Y17" s="9" t="n">
        <v>0.73</v>
      </c>
      <c r="Z17" s="9" t="n">
        <v>0.73</v>
      </c>
      <c r="AA17" s="9" t="n">
        <v>0.73</v>
      </c>
      <c r="AB17" s="9" t="n">
        <v>0.73</v>
      </c>
      <c r="AC17" s="9" t="n">
        <v>0.73</v>
      </c>
      <c r="AD17" s="9" t="n">
        <v>0.73</v>
      </c>
      <c r="AE17" s="9" t="n">
        <v>0.73</v>
      </c>
      <c r="AF17" s="9" t="n">
        <v>0.73</v>
      </c>
      <c r="AG17" s="9" t="n">
        <v>0.73</v>
      </c>
      <c r="AH17" s="9" t="n">
        <v>0.73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0.53</v>
      </c>
      <c r="L18" s="9" t="n">
        <v>0.53</v>
      </c>
      <c r="M18" s="9" t="n">
        <v>0.53</v>
      </c>
      <c r="N18" s="9" t="n">
        <v>0.53</v>
      </c>
      <c r="O18" s="9" t="n">
        <v>0.53</v>
      </c>
      <c r="P18" s="9" t="n">
        <v>0.53</v>
      </c>
      <c r="Q18" s="9" t="n">
        <v>0.53</v>
      </c>
      <c r="R18" s="9" t="n">
        <v>0.53</v>
      </c>
      <c r="S18" s="9" t="n">
        <v>0.53</v>
      </c>
      <c r="T18" s="9" t="n">
        <v>0.53</v>
      </c>
      <c r="U18" s="9" t="n">
        <v>0.53</v>
      </c>
      <c r="V18" s="9" t="n">
        <v>0.53</v>
      </c>
      <c r="W18" s="9" t="n">
        <v>0.53</v>
      </c>
      <c r="X18" s="9" t="n">
        <v>0.53</v>
      </c>
      <c r="Y18" s="9" t="n">
        <v>0.53</v>
      </c>
      <c r="Z18" s="9" t="n">
        <v>0.53</v>
      </c>
      <c r="AA18" s="9" t="n">
        <v>0.53</v>
      </c>
      <c r="AB18" s="9" t="n">
        <v>0.53</v>
      </c>
      <c r="AC18" s="9" t="n">
        <v>0.53</v>
      </c>
      <c r="AD18" s="9" t="n">
        <v>0.53</v>
      </c>
      <c r="AE18" s="9" t="n">
        <v>0.53</v>
      </c>
      <c r="AF18" s="9" t="n">
        <v>0.53</v>
      </c>
      <c r="AG18" s="9" t="n">
        <v>0.53</v>
      </c>
      <c r="AH18" s="9" t="n">
        <v>0.53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v>0.68</v>
      </c>
      <c r="L19" s="9" t="n">
        <v>0.68</v>
      </c>
      <c r="M19" s="9" t="n">
        <v>0.68</v>
      </c>
      <c r="N19" s="9" t="n">
        <v>0.68</v>
      </c>
      <c r="O19" s="9" t="n">
        <v>0.68</v>
      </c>
      <c r="P19" s="9" t="n">
        <v>0.68</v>
      </c>
      <c r="Q19" s="9" t="n">
        <v>0.68</v>
      </c>
      <c r="R19" s="9" t="n">
        <v>0.68</v>
      </c>
      <c r="S19" s="9" t="n">
        <v>0.68</v>
      </c>
      <c r="T19" s="9" t="n">
        <v>0.68</v>
      </c>
      <c r="U19" s="9" t="n">
        <v>0.68</v>
      </c>
      <c r="V19" s="9" t="n">
        <v>0.68</v>
      </c>
      <c r="W19" s="9" t="n">
        <v>0.68</v>
      </c>
      <c r="X19" s="9" t="n">
        <v>0.68</v>
      </c>
      <c r="Y19" s="9" t="n">
        <v>0.68</v>
      </c>
      <c r="Z19" s="9" t="n">
        <v>0.68</v>
      </c>
      <c r="AA19" s="9" t="n">
        <v>0.68</v>
      </c>
      <c r="AB19" s="9" t="n">
        <v>0.68</v>
      </c>
      <c r="AC19" s="9" t="n">
        <v>0.68</v>
      </c>
      <c r="AD19" s="9" t="n">
        <v>0.68</v>
      </c>
      <c r="AE19" s="9" t="n">
        <v>0.68</v>
      </c>
      <c r="AF19" s="9" t="n">
        <v>0.68</v>
      </c>
      <c r="AG19" s="9" t="n">
        <v>0.68</v>
      </c>
      <c r="AH19" s="9" t="n">
        <v>0.68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v>0.73</v>
      </c>
      <c r="M20" s="9" t="n">
        <v>0.73</v>
      </c>
      <c r="N20" s="9" t="n">
        <v>0.73</v>
      </c>
      <c r="O20" s="9" t="n">
        <v>0.73</v>
      </c>
      <c r="P20" s="9" t="n">
        <v>0.73</v>
      </c>
      <c r="Q20" s="9" t="n">
        <v>0.73</v>
      </c>
      <c r="R20" s="9" t="n">
        <v>0.73</v>
      </c>
      <c r="S20" s="9" t="n">
        <v>0.73</v>
      </c>
      <c r="T20" s="9" t="n">
        <v>0.73</v>
      </c>
      <c r="U20" s="9" t="n">
        <v>0.73</v>
      </c>
      <c r="V20" s="9" t="n">
        <v>0.73</v>
      </c>
      <c r="W20" s="9" t="n">
        <v>0.73</v>
      </c>
      <c r="X20" s="9" t="n">
        <v>0.73</v>
      </c>
      <c r="Y20" s="9" t="n">
        <v>0.73</v>
      </c>
      <c r="Z20" s="9" t="n">
        <v>0.73</v>
      </c>
      <c r="AA20" s="9" t="n">
        <v>0.73</v>
      </c>
      <c r="AB20" s="9" t="n">
        <v>0.73</v>
      </c>
      <c r="AC20" s="9" t="n">
        <v>0.73</v>
      </c>
      <c r="AD20" s="9" t="n">
        <v>0.73</v>
      </c>
      <c r="AE20" s="9" t="n">
        <v>0.73</v>
      </c>
      <c r="AF20" s="9" t="n">
        <v>0.73</v>
      </c>
      <c r="AG20" s="9" t="n">
        <v>0.73</v>
      </c>
      <c r="AH20" s="9" t="n">
        <v>0.73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v>0.75</v>
      </c>
      <c r="N21" s="9" t="n">
        <v>0.75</v>
      </c>
      <c r="O21" s="9" t="n">
        <v>0.75</v>
      </c>
      <c r="P21" s="9" t="n">
        <v>0.75</v>
      </c>
      <c r="Q21" s="9" t="n">
        <v>0.75</v>
      </c>
      <c r="R21" s="9" t="n">
        <v>0.75</v>
      </c>
      <c r="S21" s="9" t="n">
        <v>0.75</v>
      </c>
      <c r="T21" s="9" t="n">
        <v>0.75</v>
      </c>
      <c r="U21" s="9" t="n">
        <v>0.75</v>
      </c>
      <c r="V21" s="9" t="n">
        <v>0.75</v>
      </c>
      <c r="W21" s="9" t="n">
        <v>0.75</v>
      </c>
      <c r="X21" s="9" t="n">
        <v>0.75</v>
      </c>
      <c r="Y21" s="9" t="n">
        <v>0.75</v>
      </c>
      <c r="Z21" s="9" t="n">
        <v>0.75</v>
      </c>
      <c r="AA21" s="9" t="n">
        <v>0.75</v>
      </c>
      <c r="AB21" s="9" t="n">
        <v>0.75</v>
      </c>
      <c r="AC21" s="9" t="n">
        <v>0.75</v>
      </c>
      <c r="AD21" s="9" t="n">
        <v>0.75</v>
      </c>
      <c r="AE21" s="9" t="n">
        <v>0.75</v>
      </c>
      <c r="AF21" s="9" t="n">
        <v>0.75</v>
      </c>
      <c r="AG21" s="9" t="n">
        <v>0.75</v>
      </c>
      <c r="AH21" s="9" t="n">
        <v>0.75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v>0.66</v>
      </c>
      <c r="O22" s="9" t="n">
        <v>0.66</v>
      </c>
      <c r="P22" s="9" t="n">
        <v>0.66</v>
      </c>
      <c r="Q22" s="9" t="n">
        <v>0.66</v>
      </c>
      <c r="R22" s="9" t="n">
        <v>0.66</v>
      </c>
      <c r="S22" s="9" t="n">
        <v>0.66</v>
      </c>
      <c r="T22" s="9" t="n">
        <v>0.66</v>
      </c>
      <c r="U22" s="9" t="n">
        <v>0.66</v>
      </c>
      <c r="V22" s="9" t="n">
        <v>0.66</v>
      </c>
      <c r="W22" s="9" t="n">
        <v>0.66</v>
      </c>
      <c r="X22" s="9" t="n">
        <v>0.66</v>
      </c>
      <c r="Y22" s="9" t="n">
        <v>0.66</v>
      </c>
      <c r="Z22" s="9" t="n">
        <v>0.66</v>
      </c>
      <c r="AA22" s="9" t="n">
        <v>0.66</v>
      </c>
      <c r="AB22" s="9" t="n">
        <v>0.66</v>
      </c>
      <c r="AC22" s="9" t="n">
        <v>0.66</v>
      </c>
      <c r="AD22" s="9" t="n">
        <v>0.66</v>
      </c>
      <c r="AE22" s="9" t="n">
        <v>0.66</v>
      </c>
      <c r="AF22" s="9" t="n">
        <v>0.66</v>
      </c>
      <c r="AG22" s="9" t="n">
        <v>0.66</v>
      </c>
      <c r="AH22" s="9" t="n">
        <v>0.66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v>0.37</v>
      </c>
      <c r="P23" s="9" t="n">
        <v>0.37</v>
      </c>
      <c r="Q23" s="9" t="n">
        <v>0.37</v>
      </c>
      <c r="R23" s="9" t="n">
        <v>0.37</v>
      </c>
      <c r="S23" s="9" t="n">
        <v>0.37</v>
      </c>
      <c r="T23" s="9" t="n">
        <v>0.37</v>
      </c>
      <c r="U23" s="9" t="n">
        <v>0.37</v>
      </c>
      <c r="V23" s="9" t="n">
        <v>0.37</v>
      </c>
      <c r="W23" s="9" t="n">
        <v>0.37</v>
      </c>
      <c r="X23" s="9" t="n">
        <v>0.37</v>
      </c>
      <c r="Y23" s="9" t="n">
        <v>0.37</v>
      </c>
      <c r="Z23" s="9" t="n">
        <v>0.37</v>
      </c>
      <c r="AA23" s="9" t="n">
        <v>0.37</v>
      </c>
      <c r="AB23" s="9" t="n">
        <v>0.37</v>
      </c>
      <c r="AC23" s="9" t="n">
        <v>0.37</v>
      </c>
      <c r="AD23" s="9" t="n">
        <v>0.37</v>
      </c>
      <c r="AE23" s="9" t="n">
        <v>0.37</v>
      </c>
      <c r="AF23" s="9" t="n">
        <v>0.37</v>
      </c>
      <c r="AG23" s="9" t="n">
        <v>0.37</v>
      </c>
      <c r="AH23" s="9" t="n">
        <v>0.37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v>0.48</v>
      </c>
      <c r="Q24" s="9" t="n">
        <v>0.48</v>
      </c>
      <c r="R24" s="9" t="n">
        <v>0.48</v>
      </c>
      <c r="S24" s="9" t="n">
        <v>0.48</v>
      </c>
      <c r="T24" s="9" t="n">
        <v>0.48</v>
      </c>
      <c r="U24" s="9" t="n">
        <v>0.48</v>
      </c>
      <c r="V24" s="9" t="n">
        <v>0.48</v>
      </c>
      <c r="W24" s="9" t="n">
        <v>0.48</v>
      </c>
      <c r="X24" s="9" t="n">
        <v>0.48</v>
      </c>
      <c r="Y24" s="9" t="n">
        <v>0.48</v>
      </c>
      <c r="Z24" s="9" t="n">
        <v>0.48</v>
      </c>
      <c r="AA24" s="9" t="n">
        <v>0.48</v>
      </c>
      <c r="AB24" s="9" t="n">
        <v>0.48</v>
      </c>
      <c r="AC24" s="9" t="n">
        <v>0.48</v>
      </c>
      <c r="AD24" s="9" t="n">
        <v>0.48</v>
      </c>
      <c r="AE24" s="9" t="n">
        <v>0.48</v>
      </c>
      <c r="AF24" s="9" t="n">
        <v>0.48</v>
      </c>
      <c r="AG24" s="9" t="n">
        <v>0.48</v>
      </c>
      <c r="AH24" s="9" t="n">
        <v>0.48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F1" colorId="64" zoomScale="55" zoomScaleNormal="55" zoomScalePageLayoutView="100" workbookViewId="0">
      <pane xSplit="0" ySplit="1" topLeftCell="A2" activePane="bottomLeft" state="frozen"/>
      <selection pane="topLeft" activeCell="F1" activeCellId="0" sqref="F1"/>
      <selection pane="bottomLeft" activeCell="AO2" activeCellId="1" sqref="O30:AH37 AO2"/>
    </sheetView>
  </sheetViews>
  <sheetFormatPr defaultColWidth="8.5195312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42" min="42" style="9" width="26.14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O30:AH3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B1" colorId="64" zoomScale="55" zoomScaleNormal="55" zoomScalePageLayoutView="100" workbookViewId="0">
      <pane xSplit="0" ySplit="1" topLeftCell="A632" activePane="bottomLeft" state="frozen"/>
      <selection pane="topLeft" activeCell="B1" activeCellId="0" sqref="B1"/>
      <selection pane="bottomLeft" activeCell="W2076" activeCellId="1" sqref="O30:AH37 W2076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fals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fals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2">
      <filters>
        <filter val="BIO"/>
        <filter val="CRUD"/>
        <filter val="CRUDEXP"/>
        <filter val="DSL"/>
        <filter val="ELC01"/>
        <filter val="ELC02"/>
        <filter val="ELC03"/>
        <filter val="ELCSTORAGE01"/>
        <filter val="GASLIQ"/>
        <filter val="HFO01"/>
        <filter val="HFO02"/>
        <filter val="HYD"/>
        <filter val="LFO"/>
        <filter val="NG"/>
        <filter val="SOL"/>
        <filter val="WND"/>
      </filters>
    </filterColumn>
    <filterColumn colId="1">
      <filters>
        <filter val="DEMRES"/>
        <filter val="EXPORT01"/>
        <filter val="GASLIQUED"/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P2074" activeCellId="1" sqref="O30:AH37 P2074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0</v>
      </c>
      <c r="F1366" s="9" t="n">
        <v>0</v>
      </c>
      <c r="G1366" s="9" t="n">
        <v>0</v>
      </c>
      <c r="H1366" s="9" t="n">
        <v>0</v>
      </c>
      <c r="I1366" s="9" t="n">
        <v>0</v>
      </c>
      <c r="J1366" s="9" t="n">
        <v>0</v>
      </c>
      <c r="K1366" s="9" t="n">
        <v>0</v>
      </c>
      <c r="L1366" s="9" t="n">
        <v>0</v>
      </c>
      <c r="M1366" s="9" t="n">
        <v>0</v>
      </c>
      <c r="N1366" s="9" t="n">
        <v>0</v>
      </c>
      <c r="O1366" s="9" t="n">
        <v>0</v>
      </c>
      <c r="P1366" s="9" t="n">
        <v>0</v>
      </c>
      <c r="Q1366" s="9" t="n">
        <v>0</v>
      </c>
      <c r="R1366" s="9" t="n">
        <v>0</v>
      </c>
      <c r="S1366" s="9" t="n">
        <v>0</v>
      </c>
      <c r="T1366" s="9" t="n">
        <v>0</v>
      </c>
      <c r="U1366" s="9" t="n">
        <v>0</v>
      </c>
      <c r="V1366" s="9" t="n">
        <v>0</v>
      </c>
      <c r="W1366" s="9" t="n">
        <v>0</v>
      </c>
      <c r="X1366" s="9" t="n">
        <v>0</v>
      </c>
      <c r="Y1366" s="9" t="n">
        <v>0</v>
      </c>
      <c r="Z1366" s="9" t="n">
        <v>0</v>
      </c>
      <c r="AA1366" s="9" t="n">
        <v>0</v>
      </c>
      <c r="AB1366" s="9" t="n">
        <v>0</v>
      </c>
      <c r="AC1366" s="9" t="n">
        <v>0</v>
      </c>
      <c r="AD1366" s="9" t="n">
        <v>0</v>
      </c>
      <c r="AE1366" s="9" t="n">
        <v>0</v>
      </c>
      <c r="AF1366" s="9" t="n">
        <v>0</v>
      </c>
      <c r="AG1366" s="9" t="n">
        <v>0</v>
      </c>
      <c r="AH1366" s="9" t="n">
        <v>0</v>
      </c>
      <c r="AI1366" s="9" t="n">
        <v>0</v>
      </c>
      <c r="AJ1366" s="9" t="n">
        <v>0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1</v>
      </c>
      <c r="F1944" s="9" t="n">
        <v>1</v>
      </c>
      <c r="G1944" s="9" t="n">
        <v>1</v>
      </c>
      <c r="H1944" s="9" t="n">
        <v>1</v>
      </c>
      <c r="I1944" s="9" t="n">
        <v>1</v>
      </c>
      <c r="J1944" s="9" t="n">
        <v>1</v>
      </c>
      <c r="K1944" s="9" t="n">
        <v>1</v>
      </c>
      <c r="L1944" s="9" t="n">
        <v>1</v>
      </c>
      <c r="M1944" s="9" t="n">
        <v>1</v>
      </c>
      <c r="N1944" s="9" t="n">
        <v>1</v>
      </c>
      <c r="O1944" s="9" t="n">
        <v>1</v>
      </c>
      <c r="P1944" s="9" t="n">
        <v>1</v>
      </c>
      <c r="Q1944" s="9" t="n">
        <v>1</v>
      </c>
      <c r="R1944" s="9" t="n">
        <v>1</v>
      </c>
      <c r="S1944" s="9" t="n">
        <v>1</v>
      </c>
      <c r="T1944" s="9" t="n">
        <v>1</v>
      </c>
      <c r="U1944" s="9" t="n">
        <v>1</v>
      </c>
      <c r="V1944" s="9" t="n">
        <v>1</v>
      </c>
      <c r="W1944" s="9" t="n">
        <v>1</v>
      </c>
      <c r="X1944" s="9" t="n">
        <v>1</v>
      </c>
      <c r="Y1944" s="9" t="n">
        <v>1</v>
      </c>
      <c r="Z1944" s="9" t="n">
        <v>1</v>
      </c>
      <c r="AA1944" s="9" t="n">
        <v>1</v>
      </c>
      <c r="AB1944" s="9" t="n">
        <v>1</v>
      </c>
      <c r="AC1944" s="9" t="n">
        <v>1</v>
      </c>
      <c r="AD1944" s="9" t="n">
        <v>1</v>
      </c>
      <c r="AE1944" s="9" t="n">
        <v>1</v>
      </c>
      <c r="AF1944" s="9" t="n">
        <v>1</v>
      </c>
      <c r="AG1944" s="9" t="n">
        <v>1</v>
      </c>
      <c r="AH1944" s="9" t="n">
        <v>1</v>
      </c>
      <c r="AI1944" s="9" t="n">
        <v>1</v>
      </c>
      <c r="AJ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1" activePane="bottomLeft" state="frozen"/>
      <selection pane="topLeft" activeCell="A1" activeCellId="0" sqref="A1"/>
      <selection pane="bottomLeft" activeCell="C25" activeCellId="1" sqref="O30:AH37 C2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0.16"/>
    <col collapsed="false" customWidth="true" hidden="false" outlineLevel="0" max="4" min="4" style="9" width="12.47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1543</v>
      </c>
      <c r="J30" s="9" t="n">
        <v>1536</v>
      </c>
      <c r="K30" s="9" t="n">
        <v>1528</v>
      </c>
      <c r="L30" s="9" t="n">
        <v>1521</v>
      </c>
      <c r="M30" s="9" t="n">
        <v>1514</v>
      </c>
      <c r="N30" s="9" t="n">
        <v>1506</v>
      </c>
      <c r="O30" s="9" t="n">
        <v>1499</v>
      </c>
      <c r="P30" s="9" t="n">
        <v>1491</v>
      </c>
      <c r="Q30" s="9" t="n">
        <v>1484</v>
      </c>
      <c r="R30" s="9" t="n">
        <v>1476</v>
      </c>
      <c r="S30" s="9" t="n">
        <v>1469</v>
      </c>
      <c r="T30" s="9" t="n">
        <v>1461</v>
      </c>
      <c r="U30" s="9" t="n">
        <v>1454</v>
      </c>
      <c r="V30" s="9" t="n">
        <v>1446</v>
      </c>
      <c r="W30" s="9" t="n">
        <v>1439</v>
      </c>
      <c r="X30" s="9" t="n">
        <v>1431</v>
      </c>
      <c r="Y30" s="9" t="n">
        <v>1424</v>
      </c>
      <c r="Z30" s="9" t="n">
        <v>1416</v>
      </c>
      <c r="AA30" s="9" t="n">
        <v>1409</v>
      </c>
      <c r="AB30" s="9" t="n">
        <v>1401</v>
      </c>
      <c r="AC30" s="9" t="n">
        <v>1394</v>
      </c>
      <c r="AD30" s="9" t="n">
        <v>1394</v>
      </c>
      <c r="AE30" s="9" t="n">
        <v>1394</v>
      </c>
      <c r="AF30" s="9" t="n">
        <v>1394</v>
      </c>
      <c r="AG30" s="9" t="n">
        <v>1394</v>
      </c>
      <c r="AH30" s="9" t="n">
        <v>1394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1225.116279</v>
      </c>
      <c r="I32" s="9" t="n">
        <v>1150.263566</v>
      </c>
      <c r="J32" s="9" t="n">
        <v>1075.410853</v>
      </c>
      <c r="K32" s="9" t="n">
        <v>1000.55814</v>
      </c>
      <c r="L32" s="9" t="n">
        <v>925.7054264</v>
      </c>
      <c r="M32" s="9" t="n">
        <v>850.8527132</v>
      </c>
      <c r="N32" s="9" t="n">
        <v>776</v>
      </c>
      <c r="O32" s="9" t="n">
        <v>770.35</v>
      </c>
      <c r="P32" s="9" t="n">
        <v>764.7</v>
      </c>
      <c r="Q32" s="9" t="n">
        <v>759.05</v>
      </c>
      <c r="R32" s="9" t="n">
        <v>753.4</v>
      </c>
      <c r="S32" s="9" t="n">
        <v>747.75</v>
      </c>
      <c r="T32" s="9" t="n">
        <v>742.1</v>
      </c>
      <c r="U32" s="9" t="n">
        <v>736.45</v>
      </c>
      <c r="V32" s="9" t="n">
        <v>730.8</v>
      </c>
      <c r="W32" s="9" t="n">
        <v>725.15</v>
      </c>
      <c r="X32" s="9" t="n">
        <v>719.5</v>
      </c>
      <c r="Y32" s="9" t="n">
        <v>713.85</v>
      </c>
      <c r="Z32" s="9" t="n">
        <v>708.2</v>
      </c>
      <c r="AA32" s="9" t="n">
        <v>702.55</v>
      </c>
      <c r="AB32" s="9" t="n">
        <v>696.9</v>
      </c>
      <c r="AC32" s="9" t="n">
        <v>691.25</v>
      </c>
      <c r="AD32" s="9" t="n">
        <v>685.6</v>
      </c>
      <c r="AE32" s="9" t="n">
        <v>679.95</v>
      </c>
      <c r="AF32" s="9" t="n">
        <v>674.3</v>
      </c>
      <c r="AG32" s="9" t="n">
        <v>668.65</v>
      </c>
      <c r="AH32" s="9" t="n">
        <v>663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5797</v>
      </c>
      <c r="D34" s="9" t="n">
        <v>5571.6</v>
      </c>
      <c r="E34" s="9" t="n">
        <v>5346.2</v>
      </c>
      <c r="F34" s="9" t="n">
        <v>5120.8</v>
      </c>
      <c r="G34" s="9" t="n">
        <v>4895.4</v>
      </c>
      <c r="H34" s="9" t="n">
        <v>4670</v>
      </c>
      <c r="I34" s="9" t="n">
        <v>4488.6</v>
      </c>
      <c r="J34" s="9" t="n">
        <v>4307.2</v>
      </c>
      <c r="K34" s="9" t="n">
        <v>4125.8</v>
      </c>
      <c r="L34" s="9" t="n">
        <v>3944.4</v>
      </c>
      <c r="M34" s="9" t="n">
        <v>3763</v>
      </c>
      <c r="N34" s="9" t="n">
        <v>3752.6</v>
      </c>
      <c r="O34" s="9" t="n">
        <v>3742.2</v>
      </c>
      <c r="P34" s="9" t="n">
        <v>3731.79999999999</v>
      </c>
      <c r="Q34" s="9" t="n">
        <v>3721.39999999999</v>
      </c>
      <c r="R34" s="9" t="n">
        <v>3711</v>
      </c>
      <c r="S34" s="9" t="n">
        <v>3700.8</v>
      </c>
      <c r="T34" s="9" t="n">
        <v>3690.6</v>
      </c>
      <c r="U34" s="9" t="n">
        <v>3680.4</v>
      </c>
      <c r="V34" s="9" t="n">
        <v>3670.2</v>
      </c>
      <c r="W34" s="9" t="n">
        <v>3660</v>
      </c>
      <c r="X34" s="9" t="n">
        <v>3660</v>
      </c>
      <c r="Y34" s="9" t="n">
        <v>3660</v>
      </c>
      <c r="Z34" s="9" t="n">
        <v>3660</v>
      </c>
      <c r="AA34" s="9" t="n">
        <v>3660</v>
      </c>
      <c r="AB34" s="9" t="n">
        <v>3660</v>
      </c>
      <c r="AC34" s="9" t="n">
        <v>3660</v>
      </c>
      <c r="AD34" s="9" t="n">
        <v>3660</v>
      </c>
      <c r="AE34" s="9" t="n">
        <v>3660</v>
      </c>
      <c r="AF34" s="9" t="n">
        <v>3660</v>
      </c>
      <c r="AG34" s="9" t="n">
        <v>3660</v>
      </c>
      <c r="AH34" s="9" t="n">
        <v>3660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v>150</v>
      </c>
      <c r="P48" s="9" t="n">
        <v>150</v>
      </c>
      <c r="Q48" s="9" t="n">
        <v>150</v>
      </c>
      <c r="R48" s="9" t="n">
        <v>150</v>
      </c>
      <c r="S48" s="9" t="n">
        <v>150</v>
      </c>
      <c r="T48" s="9" t="n">
        <v>150</v>
      </c>
      <c r="U48" s="9" t="n">
        <v>150</v>
      </c>
      <c r="V48" s="9" t="n">
        <v>150</v>
      </c>
      <c r="W48" s="9" t="n">
        <v>150</v>
      </c>
      <c r="X48" s="9" t="n">
        <v>150</v>
      </c>
      <c r="Y48" s="9" t="n">
        <v>150</v>
      </c>
      <c r="Z48" s="9" t="n">
        <v>150</v>
      </c>
      <c r="AA48" s="9" t="n">
        <v>150</v>
      </c>
      <c r="AB48" s="9" t="n">
        <v>150</v>
      </c>
      <c r="AC48" s="9" t="n">
        <v>150</v>
      </c>
      <c r="AD48" s="9" t="n">
        <v>150</v>
      </c>
      <c r="AE48" s="9" t="n">
        <v>150</v>
      </c>
      <c r="AF48" s="9" t="n">
        <v>150</v>
      </c>
      <c r="AG48" s="9" t="n">
        <v>150</v>
      </c>
      <c r="AH48" s="9" t="n">
        <v>150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A33" activeCellId="0" sqref="O30:AH3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4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30</v>
      </c>
      <c r="E2" s="9" t="n">
        <v>30</v>
      </c>
      <c r="F2" s="9" t="n">
        <v>30</v>
      </c>
      <c r="G2" s="9" t="n">
        <v>30</v>
      </c>
      <c r="H2" s="9" t="n">
        <v>30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11.11</v>
      </c>
      <c r="E16" s="9" t="n">
        <v>11.11</v>
      </c>
      <c r="F16" s="9" t="n">
        <v>11.11</v>
      </c>
      <c r="G16" s="9" t="n">
        <v>11.11</v>
      </c>
      <c r="H16" s="9" t="n">
        <v>11.11</v>
      </c>
      <c r="I16" s="9" t="n">
        <v>11.11</v>
      </c>
      <c r="J16" s="9" t="n">
        <v>11.11</v>
      </c>
      <c r="K16" s="9" t="n">
        <v>11.11</v>
      </c>
      <c r="L16" s="9" t="n">
        <v>11.11</v>
      </c>
      <c r="M16" s="9" t="n">
        <v>11.11</v>
      </c>
      <c r="N16" s="9" t="n">
        <v>11.11</v>
      </c>
      <c r="O16" s="9" t="n">
        <v>11.11</v>
      </c>
      <c r="P16" s="9" t="n">
        <v>11.11</v>
      </c>
      <c r="Q16" s="9" t="n">
        <v>11.11</v>
      </c>
      <c r="R16" s="9" t="n">
        <v>11.11</v>
      </c>
      <c r="S16" s="9" t="n">
        <v>11.11</v>
      </c>
      <c r="T16" s="9" t="n">
        <v>11.11</v>
      </c>
      <c r="U16" s="9" t="n">
        <v>11.11</v>
      </c>
      <c r="V16" s="9" t="n">
        <v>11.11</v>
      </c>
      <c r="W16" s="9" t="n">
        <v>11.11</v>
      </c>
      <c r="X16" s="9" t="n">
        <v>11.11</v>
      </c>
      <c r="Y16" s="9" t="n">
        <v>11.11</v>
      </c>
      <c r="Z16" s="9" t="n">
        <v>11.11</v>
      </c>
      <c r="AA16" s="9" t="n">
        <v>11.11</v>
      </c>
      <c r="AB16" s="9" t="n">
        <v>11.11</v>
      </c>
      <c r="AC16" s="9" t="n">
        <v>11.11</v>
      </c>
      <c r="AD16" s="9" t="n">
        <v>11.11</v>
      </c>
      <c r="AE16" s="9" t="n">
        <v>11.11</v>
      </c>
      <c r="AF16" s="9" t="n">
        <v>11.11</v>
      </c>
      <c r="AG16" s="9" t="n">
        <v>11.11</v>
      </c>
      <c r="AH16" s="9" t="n">
        <v>11.11</v>
      </c>
      <c r="AI16" s="9" t="n">
        <v>11.11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22</v>
      </c>
      <c r="E18" s="9" t="n">
        <v>22</v>
      </c>
      <c r="F18" s="9" t="n">
        <v>22</v>
      </c>
      <c r="G18" s="9" t="n">
        <v>22</v>
      </c>
      <c r="H18" s="9" t="n">
        <v>22</v>
      </c>
      <c r="I18" s="9" t="n">
        <v>22</v>
      </c>
      <c r="J18" s="9" t="n">
        <v>22</v>
      </c>
      <c r="K18" s="9" t="n">
        <v>22</v>
      </c>
      <c r="L18" s="9" t="n">
        <v>22</v>
      </c>
      <c r="M18" s="9" t="n">
        <v>22</v>
      </c>
      <c r="N18" s="9" t="n">
        <v>22</v>
      </c>
      <c r="O18" s="9" t="n">
        <v>22</v>
      </c>
      <c r="P18" s="9" t="n">
        <v>22</v>
      </c>
      <c r="Q18" s="9" t="n">
        <v>22</v>
      </c>
      <c r="R18" s="9" t="n">
        <v>22</v>
      </c>
      <c r="S18" s="9" t="n">
        <v>22</v>
      </c>
      <c r="T18" s="9" t="n">
        <v>22</v>
      </c>
      <c r="U18" s="9" t="n">
        <v>22</v>
      </c>
      <c r="V18" s="9" t="n">
        <v>22</v>
      </c>
      <c r="W18" s="9" t="n">
        <v>22</v>
      </c>
      <c r="X18" s="9" t="n">
        <v>22</v>
      </c>
      <c r="Y18" s="9" t="n">
        <v>22</v>
      </c>
      <c r="Z18" s="9" t="n">
        <v>22</v>
      </c>
      <c r="AA18" s="9" t="n">
        <v>22</v>
      </c>
      <c r="AB18" s="9" t="n">
        <v>22</v>
      </c>
      <c r="AC18" s="9" t="n">
        <v>22</v>
      </c>
      <c r="AD18" s="9" t="n">
        <v>22</v>
      </c>
      <c r="AE18" s="9" t="n">
        <v>22</v>
      </c>
      <c r="AF18" s="9" t="n">
        <v>22</v>
      </c>
      <c r="AG18" s="9" t="n">
        <v>22</v>
      </c>
      <c r="AH18" s="9" t="n">
        <v>22</v>
      </c>
      <c r="AI18" s="9" t="n">
        <v>22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1" activePane="bottomLeft" state="frozen"/>
      <selection pane="topLeft" activeCell="A1" activeCellId="0" sqref="A1"/>
      <selection pane="bottomLeft" activeCell="D28" activeCellId="1" sqref="O30:AH37 D2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O30:AH37 D11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83" activePane="bottomLeft" state="frozen"/>
      <selection pane="topLeft" activeCell="A1" activeCellId="0" sqref="A1"/>
      <selection pane="bottomLeft" activeCell="E115" activeCellId="1" sqref="O30:AH37 E11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O30:AH37 B2"/>
    </sheetView>
  </sheetViews>
  <sheetFormatPr defaultColWidth="8.5195312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30:AH37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30:AH37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O30:AH37 H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O30:AH37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O30:AH37 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55" zoomScaleNormal="5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O30:AH37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O30:AH37 C1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1" sqref="O30:AH37 C25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O30:AH37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0" activePane="bottomLeft" state="frozen"/>
      <selection pane="topLeft" activeCell="A1" activeCellId="0" sqref="A1"/>
      <selection pane="bottomLeft" activeCell="I25" activeCellId="1" sqref="O30:AH37 I2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O30:AH37 Q39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pane xSplit="0" ySplit="1" topLeftCell="A12" activePane="bottomLeft" state="frozen"/>
      <selection pane="topLeft" activeCell="A1" activeCellId="0" sqref="A1"/>
      <selection pane="bottomLeft" activeCell="O30" activeCellId="0" sqref="O30:AH3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n">
        <v>56.76</v>
      </c>
      <c r="D11" s="9" t="n">
        <v>56.76</v>
      </c>
      <c r="E11" s="9" t="n">
        <v>56.76</v>
      </c>
      <c r="F11" s="9" t="n">
        <v>56.76</v>
      </c>
      <c r="G11" s="9" t="n">
        <v>56.76</v>
      </c>
      <c r="H11" s="9" t="n">
        <v>56.76</v>
      </c>
      <c r="I11" s="9" t="n">
        <v>56.76</v>
      </c>
      <c r="J11" s="9" t="n">
        <v>56.76</v>
      </c>
      <c r="K11" s="9" t="n">
        <v>56.76</v>
      </c>
      <c r="L11" s="9" t="n">
        <v>56.76</v>
      </c>
      <c r="M11" s="9" t="n">
        <v>56.76</v>
      </c>
      <c r="N11" s="9" t="n">
        <v>56.76</v>
      </c>
      <c r="O11" s="9" t="n">
        <v>56.76</v>
      </c>
      <c r="P11" s="9" t="n">
        <v>56.76</v>
      </c>
      <c r="Q11" s="9" t="n">
        <v>56.76</v>
      </c>
      <c r="R11" s="9" t="n">
        <v>56.76</v>
      </c>
      <c r="S11" s="9" t="n">
        <v>56.76</v>
      </c>
      <c r="T11" s="9" t="n">
        <v>56.76</v>
      </c>
      <c r="U11" s="9" t="n">
        <v>56.76</v>
      </c>
      <c r="V11" s="9" t="n">
        <v>56.76</v>
      </c>
      <c r="W11" s="9" t="n">
        <v>56.76</v>
      </c>
      <c r="X11" s="9" t="n">
        <v>56.76</v>
      </c>
      <c r="Y11" s="9" t="n">
        <v>56.76</v>
      </c>
      <c r="Z11" s="9" t="n">
        <v>56.76</v>
      </c>
      <c r="AA11" s="9" t="n">
        <v>56.76</v>
      </c>
      <c r="AB11" s="9" t="n">
        <v>56.76</v>
      </c>
      <c r="AC11" s="9" t="n">
        <v>56.76</v>
      </c>
      <c r="AD11" s="9" t="n">
        <v>56.76</v>
      </c>
      <c r="AE11" s="9" t="n">
        <v>56.76</v>
      </c>
      <c r="AF11" s="9" t="n">
        <v>56.76</v>
      </c>
      <c r="AG11" s="9" t="n">
        <v>56.76</v>
      </c>
      <c r="AH11" s="9" t="n">
        <v>56.76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f aca="false">N30*1.02</f>
        <v>8.16</v>
      </c>
      <c r="P30" s="9" t="n">
        <f aca="false">O30*1.02</f>
        <v>8.3232</v>
      </c>
      <c r="Q30" s="9" t="n">
        <f aca="false">P30*1.02</f>
        <v>8.489664</v>
      </c>
      <c r="R30" s="9" t="n">
        <f aca="false">Q30*1.02</f>
        <v>8.65945728</v>
      </c>
      <c r="S30" s="9" t="n">
        <f aca="false">R30*1.02</f>
        <v>8.8326464256</v>
      </c>
      <c r="T30" s="9" t="n">
        <f aca="false">S30*1.02</f>
        <v>9.009299354112</v>
      </c>
      <c r="U30" s="9" t="n">
        <f aca="false">T30*1.02</f>
        <v>9.18948534119424</v>
      </c>
      <c r="V30" s="9" t="n">
        <f aca="false">U30*1.02</f>
        <v>9.37327504801813</v>
      </c>
      <c r="W30" s="9" t="n">
        <f aca="false">V30*1.02</f>
        <v>9.56074054897849</v>
      </c>
      <c r="X30" s="9" t="n">
        <f aca="false">W30*1.02</f>
        <v>9.75195535995806</v>
      </c>
      <c r="Y30" s="9" t="n">
        <f aca="false">X30*1.02</f>
        <v>9.94699446715722</v>
      </c>
      <c r="Z30" s="9" t="n">
        <f aca="false">Y30*1.02</f>
        <v>10.1459343565004</v>
      </c>
      <c r="AA30" s="9" t="n">
        <f aca="false">Z30*1.02</f>
        <v>10.3488530436304</v>
      </c>
      <c r="AB30" s="9" t="n">
        <f aca="false">AA30*1.02</f>
        <v>10.555830104503</v>
      </c>
      <c r="AC30" s="9" t="n">
        <f aca="false">AB30*1.02</f>
        <v>10.766946706593</v>
      </c>
      <c r="AD30" s="9" t="n">
        <f aca="false">AC30*1.02</f>
        <v>10.9822856407249</v>
      </c>
      <c r="AE30" s="9" t="n">
        <f aca="false">AD30*1.02</f>
        <v>11.2019313535394</v>
      </c>
      <c r="AF30" s="9" t="n">
        <f aca="false">AE30*1.02</f>
        <v>11.4259699806102</v>
      </c>
      <c r="AG30" s="9" t="n">
        <f aca="false">AF30*1.02</f>
        <v>11.6544893802224</v>
      </c>
      <c r="AH30" s="9" t="n">
        <f aca="false">AG30*1.02</f>
        <v>11.8875791678268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30:AH37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D1" colorId="64" zoomScale="55" zoomScaleNormal="55" zoomScalePageLayoutView="100" workbookViewId="0">
      <pane xSplit="0" ySplit="1" topLeftCell="A2" activePane="bottomLeft" state="frozen"/>
      <selection pane="topLeft" activeCell="D1" activeCellId="0" sqref="D1"/>
      <selection pane="bottomLeft" activeCell="AL2" activeCellId="1" sqref="O30:AH37 AL2"/>
    </sheetView>
  </sheetViews>
  <sheetFormatPr defaultColWidth="8.5195312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30:AH37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L1" colorId="64" zoomScale="55" zoomScaleNormal="5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O30:AH37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K1" colorId="64" zoomScale="55" zoomScaleNormal="55" zoomScalePageLayoutView="100" workbookViewId="0">
      <pane xSplit="0" ySplit="1" topLeftCell="A2" activePane="bottomLeft" state="frozen"/>
      <selection pane="topLeft" activeCell="K1" activeCellId="0" sqref="K1"/>
      <selection pane="bottomLeft" activeCell="A1" activeCellId="1" sqref="O30:AH37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30:AH37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I29" activeCellId="1" sqref="O30:AH37 I2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H12" activeCellId="1" sqref="O30:AH37 AH1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O30:AH37 H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O30:AH37 E5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30:AH37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30:AH37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30:AH37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55" zoomScaleNormal="5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O30:AH37 S5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30:AH37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O30:AH37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O30:AH37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55" zoomScaleNormal="5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1" sqref="O30:AH37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30:AH37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30:AH37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O30:AH37 AF5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1" sqref="O30:AH37 H1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1" sqref="O30:AH37 C1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R2" activeCellId="1" sqref="O30:AH37 R2"/>
    </sheetView>
  </sheetViews>
  <sheetFormatPr defaultColWidth="8.5195312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6"/>
    <col collapsed="false" customWidth="true" hidden="false" outlineLevel="0" max="30" min="30" style="9" width="19.43"/>
    <col collapsed="false" customWidth="true" hidden="false" outlineLevel="0" max="31" min="31" style="9" width="20.86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1" sqref="O30:AH37 A1"/>
    </sheetView>
  </sheetViews>
  <sheetFormatPr defaultColWidth="8.519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D2" activeCellId="1" sqref="O30:AH37 D2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52617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2025-02-04T10:48:34Z</dcterms:modified>
  <cp:revision>423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